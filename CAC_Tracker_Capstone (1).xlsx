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Entry" sheetId="2" state="visible" r:id="rId4"/>
    <sheet name="Charts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<sst xmlns="http://schemas.openxmlformats.org/spreadsheetml/2006/main" count="82" uniqueCount="65">
  <si>
    <t xml:space="preserve">CAC TRACKER — CAPSTONE PROJECT</t>
  </si>
  <si>
    <t xml:space="preserve">Customer Acquisition Cost Analysis Dashboard</t>
  </si>
  <si>
    <t xml:space="preserve">KEY METRICS SUMMARY</t>
  </si>
  <si>
    <t xml:space="preserve">Total Marketing Spend</t>
  </si>
  <si>
    <t xml:space="preserve">Total New Customers</t>
  </si>
  <si>
    <t xml:space="preserve">Overall CAC</t>
  </si>
  <si>
    <t xml:space="preserve">LTV:CAC Ratio</t>
  </si>
  <si>
    <t xml:space="preserve">MONTHLY CAC BREAKDOWN</t>
  </si>
  <si>
    <t xml:space="preserve">Month</t>
  </si>
  <si>
    <t xml:space="preserve">Marketing Spend (₹)</t>
  </si>
  <si>
    <t xml:space="preserve">New Customers</t>
  </si>
  <si>
    <t xml:space="preserve">CAC (₹)</t>
  </si>
  <si>
    <t xml:space="preserve">MoM Change</t>
  </si>
  <si>
    <t xml:space="preserve">Channel</t>
  </si>
  <si>
    <t xml:space="preserve">LTV (₹)</t>
  </si>
  <si>
    <t xml:space="preserve">LTV:CAC</t>
  </si>
  <si>
    <t xml:space="preserve">DATA ENTRY — Monthly Marketing &amp; Customer Data</t>
  </si>
  <si>
    <t xml:space="preserve">Fill in the yellow cells. Formulas are auto-calculated.</t>
  </si>
  <si>
    <t xml:space="preserve">MoM CAC Change</t>
  </si>
  <si>
    <t xml:space="preserve">(Enter Amount)</t>
  </si>
  <si>
    <t xml:space="preserve">(Enter Count)</t>
  </si>
  <si>
    <t xml:space="preserve">B divided by C (Auto)</t>
  </si>
  <si>
    <t xml:space="preserve">vs Prev Month (Auto)</t>
  </si>
  <si>
    <t xml:space="preserve">(e.g. Social Media)</t>
  </si>
  <si>
    <t xml:space="preserve">H divided by E (Auto)</t>
  </si>
  <si>
    <t xml:space="preserve">January</t>
  </si>
  <si>
    <t xml:space="preserve">—</t>
  </si>
  <si>
    <t xml:space="preserve">Social Media</t>
  </si>
  <si>
    <t xml:space="preserve">February</t>
  </si>
  <si>
    <t xml:space="preserve">Google Ads</t>
  </si>
  <si>
    <t xml:space="preserve">March</t>
  </si>
  <si>
    <t xml:space="preserve">April</t>
  </si>
  <si>
    <t xml:space="preserve">May</t>
  </si>
  <si>
    <t xml:space="preserve">Email</t>
  </si>
  <si>
    <t xml:space="preserve">June</t>
  </si>
  <si>
    <t xml:space="preserve">Influencer</t>
  </si>
  <si>
    <t xml:space="preserve">July</t>
  </si>
  <si>
    <t xml:space="preserve">August</t>
  </si>
  <si>
    <t xml:space="preserve">September</t>
  </si>
  <si>
    <t xml:space="preserve">Referral</t>
  </si>
  <si>
    <t xml:space="preserve">October</t>
  </si>
  <si>
    <t xml:space="preserve">SEO</t>
  </si>
  <si>
    <t xml:space="preserve">November</t>
  </si>
  <si>
    <t xml:space="preserve">December</t>
  </si>
  <si>
    <t xml:space="preserve">TOTAL / AVERAGE</t>
  </si>
  <si>
    <t xml:space="preserve">Overall CAC (₹)</t>
  </si>
  <si>
    <t xml:space="preserve">LEGEND</t>
  </si>
  <si>
    <t xml:space="preserve">User Input (Yellow) — Enter your data here</t>
  </si>
  <si>
    <t xml:space="preserve">Auto-Calculated (Gray) — Do not edit</t>
  </si>
  <si>
    <t xml:space="preserve">CAC VISUAL ANALYSIS</t>
  </si>
  <si>
    <t xml:space="preserve">HOW TO USE THIS TRACKER</t>
  </si>
  <si>
    <t xml:space="preserve">WHAT IS CAC?</t>
  </si>
  <si>
    <t xml:space="preserve">Customer Acquisition Cost (CAC) = Total Marketing Spend ÷ Number of New Customers acquired in that period.</t>
  </si>
  <si>
    <t xml:space="preserve">STEP 1 — Enter Data</t>
  </si>
  <si>
    <t xml:space="preserve">Go to the 'Data Entry' sheet. Fill in the YELLOW cells only:
• Marketing Spend: Total ₹ spent on marketing that month
• New Customers: How many new customers you got
• Channel: Where you spent (e.g. Social Media, Google Ads)
• LTV: Lifetime Value of a customer (how much ₹ they bring over their lifetime)</t>
  </si>
  <si>
    <t xml:space="preserve">STEP 2 — View Dashboard</t>
  </si>
  <si>
    <t xml:space="preserve">Go to the 'Dashboard' sheet to see your monthly breakdown and key KPI metrics at the top.</t>
  </si>
  <si>
    <t xml:space="preserve">STEP 3 — Analyze Charts</t>
  </si>
  <si>
    <t xml:space="preserve">Go to the 'Charts' sheet to see visual graphs of your CAC, marketing spend, and LTV:CAC ratio over time.</t>
  </si>
  <si>
    <t xml:space="preserve">WHAT IS LTV:CAC?</t>
  </si>
  <si>
    <t xml:space="preserve">LTV:CAC ratio = Customer Lifetime Value ÷ CAC.
• If ratio &gt; 3x = Healthy business (you earn 3x what you spend to acquire)
• If ratio &lt; 1x = Danger zone (you spend more than you earn per customer)</t>
  </si>
  <si>
    <t xml:space="preserve">COLOR GUIDE</t>
  </si>
  <si>
    <t xml:space="preserve">🟡 Yellow cells = You enter data here
⬜ Gray cells = Auto-calculated (don't change)
🔵 Blue text = Input values</t>
  </si>
  <si>
    <t xml:space="preserve">FOR YOUR CAPSTONE</t>
  </si>
  <si>
    <t xml:space="preserve">Use real or simulated monthly data. Analyze trends — did CAC go up or down? Which channel had the best CAC? How does your LTV:CAC ratio look? These insights make a strong project presentation!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</si>
</sst>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#,##0"/>
    <numFmt numFmtId="167" formatCode="\₹#,##0.00"/>
    <numFmt numFmtId="168" formatCode="0.00\x"/>
    <numFmt numFmtId="169" formatCode="@"/>
    <numFmt numFmtId="170" formatCode="0.00"/>
    <numFmt numFmtId="171" formatCode="0.0%;\-0.0%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A7EBB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FFF99"/>
        <bgColor rgb="FFE2EFDA"/>
      </patternFill>
    </fill>
    <fill>
      <patternFill patternType="solid">
        <fgColor rgb="FFF9F9F9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595959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CAC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 Entry'!E5</c:f>
              <c:strCache>
                <c:ptCount val="1"/>
                <c:pt idx="0">
                  <c:v>B divided by C (Auto)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Entry'!$B$6:$B$17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'Data Entry'!$E$6:$E$17</c:f>
              <c:numCache>
                <c:formatCode>\₹#,##0.00</c:formatCode>
                <c:ptCount val="12"/>
                <c:pt idx="0">
                  <c:v>375</c:v>
                </c:pt>
                <c:pt idx="1">
                  <c:v>371.428571428571</c:v>
                </c:pt>
                <c:pt idx="2">
                  <c:v>369.230769230769</c:v>
                </c:pt>
                <c:pt idx="3">
                  <c:v>348.571428571429</c:v>
                </c:pt>
                <c:pt idx="4">
                  <c:v>343.75</c:v>
                </c:pt>
                <c:pt idx="5">
                  <c:v>333.333333333333</c:v>
                </c:pt>
                <c:pt idx="6">
                  <c:v>335</c:v>
                </c:pt>
                <c:pt idx="7">
                  <c:v>321.739130434783</c:v>
                </c:pt>
                <c:pt idx="8">
                  <c:v>313.725490196078</c:v>
                </c:pt>
                <c:pt idx="9">
                  <c:v>314.516129032258</c:v>
                </c:pt>
                <c:pt idx="10">
                  <c:v>310.344827586207</c:v>
                </c:pt>
                <c:pt idx="11">
                  <c:v>301.587301587302</c:v>
                </c:pt>
              </c:numCache>
            </c:numRef>
          </c:val>
        </c:ser>
        <c:gapWidth val="150"/>
        <c:overlap val="0"/>
        <c:axId val="81188224"/>
        <c:axId val="76997290"/>
      </c:barChart>
      <c:catAx>
        <c:axId val="81188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97290"/>
        <c:crosses val="autoZero"/>
        <c:auto val="1"/>
        <c:lblAlgn val="ctr"/>
        <c:lblOffset val="100"/>
        <c:noMultiLvlLbl val="0"/>
      </c:catAx>
      <c:valAx>
        <c:axId val="76997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88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Marketing Spend vs New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'Data Entry'!C5</c:f>
              <c:strCache>
                <c:ptCount val="1"/>
                <c:pt idx="0">
                  <c:v>(Enter Amount)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Entry'!$B$6:$B$17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'Data Entry'!$C$6:$C$17</c:f>
              <c:numCache>
                <c:formatCode>\₹#,##0</c:formatCode>
                <c:ptCount val="12"/>
                <c:pt idx="0">
                  <c:v>45000</c:v>
                </c:pt>
                <c:pt idx="1">
                  <c:v>52000</c:v>
                </c:pt>
                <c:pt idx="2">
                  <c:v>48000</c:v>
                </c:pt>
                <c:pt idx="3">
                  <c:v>61000</c:v>
                </c:pt>
                <c:pt idx="4">
                  <c:v>55000</c:v>
                </c:pt>
                <c:pt idx="5">
                  <c:v>70000</c:v>
                </c:pt>
                <c:pt idx="6">
                  <c:v>67000</c:v>
                </c:pt>
                <c:pt idx="7">
                  <c:v>74000</c:v>
                </c:pt>
                <c:pt idx="8">
                  <c:v>80000</c:v>
                </c:pt>
                <c:pt idx="9">
                  <c:v>78000</c:v>
                </c:pt>
                <c:pt idx="10">
                  <c:v>90000</c:v>
                </c:pt>
                <c:pt idx="11">
                  <c:v>95000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'Data Entry'!D5</c:f>
              <c:strCache>
                <c:ptCount val="1"/>
                <c:pt idx="0">
                  <c:v>(Enter Count)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Entry'!$B$6:$B$17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'Data Entry'!$D$6:$D$17</c:f>
              <c:numCache>
                <c:formatCode>#,##0</c:formatCode>
                <c:ptCount val="12"/>
                <c:pt idx="0">
                  <c:v>120</c:v>
                </c:pt>
                <c:pt idx="1">
                  <c:v>140</c:v>
                </c:pt>
                <c:pt idx="2">
                  <c:v>130</c:v>
                </c:pt>
                <c:pt idx="3">
                  <c:v>175</c:v>
                </c:pt>
                <c:pt idx="4">
                  <c:v>160</c:v>
                </c:pt>
                <c:pt idx="5">
                  <c:v>210</c:v>
                </c:pt>
                <c:pt idx="6">
                  <c:v>200</c:v>
                </c:pt>
                <c:pt idx="7">
                  <c:v>230</c:v>
                </c:pt>
                <c:pt idx="8">
                  <c:v>255</c:v>
                </c:pt>
                <c:pt idx="9">
                  <c:v>248</c:v>
                </c:pt>
                <c:pt idx="10">
                  <c:v>290</c:v>
                </c:pt>
                <c:pt idx="11">
                  <c:v>315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318317"/>
        <c:axId val="70410196"/>
      </c:lineChart>
      <c:catAx>
        <c:axId val="153183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10196"/>
        <c:crosses val="autoZero"/>
        <c:auto val="1"/>
        <c:lblAlgn val="ctr"/>
        <c:lblOffset val="100"/>
        <c:noMultiLvlLbl val="0"/>
      </c:catAx>
      <c:valAx>
        <c:axId val="704101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18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LTV:CAC Ratio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'Data Entry'!I5</c:f>
              <c:strCache>
                <c:ptCount val="1"/>
                <c:pt idx="0">
                  <c:v>H divided by E (Auto)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Entry'!$B$6:$B$17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'Data Entry'!$I$6:$I$17</c:f>
              <c:numCache>
                <c:formatCode>0.00\x</c:formatCode>
                <c:ptCount val="12"/>
                <c:pt idx="0">
                  <c:v>22.6666666666667</c:v>
                </c:pt>
                <c:pt idx="1">
                  <c:v>22.8846153846154</c:v>
                </c:pt>
                <c:pt idx="2">
                  <c:v>24.375</c:v>
                </c:pt>
                <c:pt idx="3">
                  <c:v>25.8196721311475</c:v>
                </c:pt>
                <c:pt idx="4">
                  <c:v>26.7636363636364</c:v>
                </c:pt>
                <c:pt idx="5">
                  <c:v>28.5</c:v>
                </c:pt>
                <c:pt idx="6">
                  <c:v>28.3582089552239</c:v>
                </c:pt>
                <c:pt idx="7">
                  <c:v>30.4594594594595</c:v>
                </c:pt>
                <c:pt idx="8">
                  <c:v>31.875</c:v>
                </c:pt>
                <c:pt idx="9">
                  <c:v>31.7948717948718</c:v>
                </c:pt>
                <c:pt idx="10">
                  <c:v>33.8333333333333</c:v>
                </c:pt>
                <c:pt idx="11">
                  <c:v>34.8157894736842</c:v>
                </c:pt>
              </c:numCache>
            </c:numRef>
          </c:val>
        </c:ser>
        <c:gapWidth val="150"/>
        <c:overlap val="0"/>
        <c:axId val="97074991"/>
        <c:axId val="33084164"/>
      </c:barChart>
      <c:catAx>
        <c:axId val="97074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84164"/>
        <c:crosses val="autoZero"/>
        <c:auto val="1"/>
        <c:lblAlgn val="ctr"/>
        <c:lblOffset val="100"/>
        <c:noMultiLvlLbl val="0"/>
      </c:catAx>
      <c:valAx>
        <c:axId val="33084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LTV:CAC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4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10</xdr:col>
      <xdr:colOff>255240</xdr:colOff>
      <xdr:row>24</xdr:row>
      <xdr:rowOff>128160</xdr:rowOff>
    </xdr:to>
    <xdr:graphicFrame>
      <xdr:nvGraphicFramePr>
        <xdr:cNvPr id="0" name="Chart 1"/>
        <xdr:cNvGraphicFramePr/>
      </xdr:nvGraphicFramePr>
      <xdr:xfrm>
        <a:off x="211320" y="619200"/>
        <a:ext cx="575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10</xdr:col>
      <xdr:colOff>255240</xdr:colOff>
      <xdr:row>44</xdr:row>
      <xdr:rowOff>127800</xdr:rowOff>
    </xdr:to>
    <xdr:graphicFrame>
      <xdr:nvGraphicFramePr>
        <xdr:cNvPr id="1" name="Chart 2"/>
        <xdr:cNvGraphicFramePr/>
      </xdr:nvGraphicFramePr>
      <xdr:xfrm>
        <a:off x="211320" y="4429080"/>
        <a:ext cx="575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18</xdr:col>
      <xdr:colOff>255240</xdr:colOff>
      <xdr:row>24</xdr:row>
      <xdr:rowOff>128160</xdr:rowOff>
    </xdr:to>
    <xdr:graphicFrame>
      <xdr:nvGraphicFramePr>
        <xdr:cNvPr id="2" name="Chart 3"/>
        <xdr:cNvGraphicFramePr/>
      </xdr:nvGraphicFramePr>
      <xdr:xfrm>
        <a:off x="5103360" y="619200"/>
        <a:ext cx="575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9" min="3" style="1" width="14"/>
    <col collapsed="false" customWidth="true" hidden="false" outlineLevel="0" max="10" min="10" style="1" width="3"/>
  </cols>
  <sheetData>
    <row r="1" customFormat="false" ht="36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/>
    <row r="4" customFormat="false" ht="18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</row>
    <row r="5" customFormat="false" ht="21.75" hidden="false" customHeight="true" outlineLevel="0" collapsed="false">
      <c r="B5" s="5" t="s">
        <v>3</v>
      </c>
      <c r="C5" s="5"/>
      <c r="D5" s="5" t="s">
        <v>4</v>
      </c>
      <c r="E5" s="5"/>
      <c r="F5" s="5" t="s">
        <v>5</v>
      </c>
      <c r="G5" s="5"/>
      <c r="H5" s="5" t="s">
        <v>6</v>
      </c>
      <c r="I5" s="5"/>
    </row>
    <row r="6" customFormat="false" ht="21.75" hidden="false" customHeight="true" outlineLevel="0" collapsed="false">
      <c r="B6" s="6" t="n">
        <f aca="false">'Data Entry'!B18</f>
        <v>0</v>
      </c>
      <c r="C6" s="6"/>
      <c r="D6" s="7" t="str">
        <f aca="false">'Data Entry'!B19</f>
        <v>TOTAL / AVERAGE</v>
      </c>
      <c r="E6" s="7"/>
      <c r="F6" s="8" t="n">
        <f aca="false">'Data Entry'!B20</f>
        <v>0</v>
      </c>
      <c r="G6" s="8"/>
      <c r="H6" s="9" t="n">
        <f aca="false">'Data Entry'!B21</f>
        <v>815000</v>
      </c>
      <c r="I6" s="9"/>
    </row>
    <row r="7" customFormat="false" ht="21.75" hidden="false" customHeight="true" outlineLevel="0" collapsed="false">
      <c r="B7" s="10"/>
      <c r="C7" s="10"/>
      <c r="D7" s="10"/>
      <c r="E7" s="10"/>
      <c r="F7" s="10"/>
      <c r="G7" s="10"/>
      <c r="H7" s="10"/>
      <c r="I7" s="10"/>
    </row>
    <row r="8" customFormat="false" ht="9.75" hidden="false" customHeight="true" outlineLevel="0" collapsed="false"/>
    <row r="9" customFormat="false" ht="15" hidden="false" customHeight="true" outlineLevel="0" collapsed="false">
      <c r="B9" s="4" t="s">
        <v>7</v>
      </c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B10" s="11" t="s">
        <v>8</v>
      </c>
      <c r="C10" s="11" t="s">
        <v>9</v>
      </c>
      <c r="D10" s="11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11" t="s">
        <v>15</v>
      </c>
    </row>
    <row r="11" customFormat="false" ht="18" hidden="false" customHeight="true" outlineLevel="0" collapsed="false">
      <c r="B11" s="12" t="str">
        <f aca="false">'Data Entry'!B7</f>
        <v>February</v>
      </c>
      <c r="C11" s="13" t="n">
        <f aca="false">'Data Entry'!C7</f>
        <v>52000</v>
      </c>
      <c r="D11" s="14" t="n">
        <f aca="false">'Data Entry'!D7</f>
        <v>140</v>
      </c>
      <c r="E11" s="15" t="n">
        <f aca="false">'Data Entry'!E7</f>
        <v>371.428571428571</v>
      </c>
      <c r="F11" s="12"/>
      <c r="G11" s="12" t="n">
        <f aca="false">'Data Entry'!F7</f>
        <v>-0.00952380952380948</v>
      </c>
      <c r="H11" s="13" t="str">
        <f aca="false">'Data Entry'!G7</f>
        <v>Google Ads</v>
      </c>
      <c r="I11" s="16" t="n">
        <f aca="false">'Data Entry'!H7</f>
        <v>8500</v>
      </c>
    </row>
    <row r="12" customFormat="false" ht="18" hidden="false" customHeight="true" outlineLevel="0" collapsed="false">
      <c r="B12" s="17" t="str">
        <f aca="false">'Data Entry'!B8</f>
        <v>March</v>
      </c>
      <c r="C12" s="18" t="n">
        <f aca="false">'Data Entry'!C8</f>
        <v>48000</v>
      </c>
      <c r="D12" s="19" t="n">
        <f aca="false">'Data Entry'!D8</f>
        <v>130</v>
      </c>
      <c r="E12" s="20" t="n">
        <f aca="false">'Data Entry'!E8</f>
        <v>369.230769230769</v>
      </c>
      <c r="F12" s="17"/>
      <c r="G12" s="17" t="n">
        <f aca="false">'Data Entry'!F8</f>
        <v>-0.00591715976331367</v>
      </c>
      <c r="H12" s="18" t="str">
        <f aca="false">'Data Entry'!G8</f>
        <v>Social Media</v>
      </c>
      <c r="I12" s="21" t="n">
        <f aca="false">'Data Entry'!H8</f>
        <v>9000</v>
      </c>
    </row>
    <row r="13" customFormat="false" ht="18" hidden="false" customHeight="true" outlineLevel="0" collapsed="false">
      <c r="B13" s="12" t="str">
        <f aca="false">'Data Entry'!B9</f>
        <v>April</v>
      </c>
      <c r="C13" s="13" t="n">
        <f aca="false">'Data Entry'!C9</f>
        <v>61000</v>
      </c>
      <c r="D13" s="14" t="n">
        <f aca="false">'Data Entry'!D9</f>
        <v>175</v>
      </c>
      <c r="E13" s="15" t="n">
        <f aca="false">'Data Entry'!E9</f>
        <v>348.571428571429</v>
      </c>
      <c r="F13" s="12"/>
      <c r="G13" s="12" t="n">
        <f aca="false">'Data Entry'!F9</f>
        <v>-0.055952380952381</v>
      </c>
      <c r="H13" s="13" t="str">
        <f aca="false">'Data Entry'!G9</f>
        <v>Google Ads</v>
      </c>
      <c r="I13" s="16" t="n">
        <f aca="false">'Data Entry'!H9</f>
        <v>9000</v>
      </c>
    </row>
    <row r="14" customFormat="false" ht="18" hidden="false" customHeight="true" outlineLevel="0" collapsed="false">
      <c r="B14" s="17" t="str">
        <f aca="false">'Data Entry'!B10</f>
        <v>May</v>
      </c>
      <c r="C14" s="18" t="n">
        <f aca="false">'Data Entry'!C10</f>
        <v>55000</v>
      </c>
      <c r="D14" s="19" t="n">
        <f aca="false">'Data Entry'!D10</f>
        <v>160</v>
      </c>
      <c r="E14" s="20" t="n">
        <f aca="false">'Data Entry'!E10</f>
        <v>343.75</v>
      </c>
      <c r="F14" s="17"/>
      <c r="G14" s="17" t="n">
        <f aca="false">'Data Entry'!F10</f>
        <v>-0.0138319672131147</v>
      </c>
      <c r="H14" s="18" t="str">
        <f aca="false">'Data Entry'!G10</f>
        <v>Email</v>
      </c>
      <c r="I14" s="21" t="n">
        <f aca="false">'Data Entry'!H10</f>
        <v>9200</v>
      </c>
    </row>
    <row r="15" customFormat="false" ht="18" hidden="false" customHeight="true" outlineLevel="0" collapsed="false">
      <c r="B15" s="12" t="str">
        <f aca="false">'Data Entry'!B11</f>
        <v>June</v>
      </c>
      <c r="C15" s="13" t="n">
        <f aca="false">'Data Entry'!C11</f>
        <v>70000</v>
      </c>
      <c r="D15" s="14" t="n">
        <f aca="false">'Data Entry'!D11</f>
        <v>210</v>
      </c>
      <c r="E15" s="15" t="n">
        <f aca="false">'Data Entry'!E11</f>
        <v>333.333333333333</v>
      </c>
      <c r="F15" s="12"/>
      <c r="G15" s="12" t="n">
        <f aca="false">'Data Entry'!F11</f>
        <v>-0.0303030303030304</v>
      </c>
      <c r="H15" s="13" t="str">
        <f aca="false">'Data Entry'!G11</f>
        <v>Influencer</v>
      </c>
      <c r="I15" s="16" t="n">
        <f aca="false">'Data Entry'!H11</f>
        <v>9500</v>
      </c>
    </row>
    <row r="16" customFormat="false" ht="18" hidden="false" customHeight="true" outlineLevel="0" collapsed="false">
      <c r="B16" s="17" t="str">
        <f aca="false">'Data Entry'!B12</f>
        <v>July</v>
      </c>
      <c r="C16" s="18" t="n">
        <f aca="false">'Data Entry'!C12</f>
        <v>67000</v>
      </c>
      <c r="D16" s="19" t="n">
        <f aca="false">'Data Entry'!D12</f>
        <v>200</v>
      </c>
      <c r="E16" s="20" t="n">
        <f aca="false">'Data Entry'!E12</f>
        <v>335</v>
      </c>
      <c r="F16" s="17"/>
      <c r="G16" s="17" t="n">
        <f aca="false">'Data Entry'!F12</f>
        <v>0.00500000000000006</v>
      </c>
      <c r="H16" s="18" t="str">
        <f aca="false">'Data Entry'!G12</f>
        <v>Social Media</v>
      </c>
      <c r="I16" s="21" t="n">
        <f aca="false">'Data Entry'!H12</f>
        <v>9500</v>
      </c>
    </row>
    <row r="17" customFormat="false" ht="18" hidden="false" customHeight="true" outlineLevel="0" collapsed="false">
      <c r="B17" s="12" t="str">
        <f aca="false">'Data Entry'!B13</f>
        <v>August</v>
      </c>
      <c r="C17" s="13" t="n">
        <f aca="false">'Data Entry'!C13</f>
        <v>74000</v>
      </c>
      <c r="D17" s="14" t="n">
        <f aca="false">'Data Entry'!D13</f>
        <v>230</v>
      </c>
      <c r="E17" s="15" t="n">
        <f aca="false">'Data Entry'!E13</f>
        <v>321.739130434783</v>
      </c>
      <c r="F17" s="12"/>
      <c r="G17" s="12" t="n">
        <f aca="false">'Data Entry'!F13</f>
        <v>-0.0395846852693056</v>
      </c>
      <c r="H17" s="13" t="str">
        <f aca="false">'Data Entry'!G13</f>
        <v>Google Ads</v>
      </c>
      <c r="I17" s="16" t="n">
        <f aca="false">'Data Entry'!H13</f>
        <v>9800</v>
      </c>
    </row>
    <row r="18" customFormat="false" ht="18" hidden="false" customHeight="true" outlineLevel="0" collapsed="false">
      <c r="B18" s="17" t="str">
        <f aca="false">'Data Entry'!B14</f>
        <v>September</v>
      </c>
      <c r="C18" s="18" t="n">
        <f aca="false">'Data Entry'!C14</f>
        <v>80000</v>
      </c>
      <c r="D18" s="19" t="n">
        <f aca="false">'Data Entry'!D14</f>
        <v>255</v>
      </c>
      <c r="E18" s="20" t="n">
        <f aca="false">'Data Entry'!E14</f>
        <v>313.725490196078</v>
      </c>
      <c r="F18" s="17"/>
      <c r="G18" s="17" t="n">
        <f aca="false">'Data Entry'!F14</f>
        <v>-0.0249072602013778</v>
      </c>
      <c r="H18" s="18" t="str">
        <f aca="false">'Data Entry'!G14</f>
        <v>Referral</v>
      </c>
      <c r="I18" s="21" t="n">
        <f aca="false">'Data Entry'!H14</f>
        <v>10000</v>
      </c>
    </row>
    <row r="19" customFormat="false" ht="18" hidden="false" customHeight="true" outlineLevel="0" collapsed="false">
      <c r="B19" s="12" t="str">
        <f aca="false">'Data Entry'!B15</f>
        <v>October</v>
      </c>
      <c r="C19" s="13" t="n">
        <f aca="false">'Data Entry'!C15</f>
        <v>78000</v>
      </c>
      <c r="D19" s="14" t="n">
        <f aca="false">'Data Entry'!D15</f>
        <v>248</v>
      </c>
      <c r="E19" s="15" t="n">
        <f aca="false">'Data Entry'!E15</f>
        <v>314.516129032258</v>
      </c>
      <c r="F19" s="12"/>
      <c r="G19" s="12" t="n">
        <f aca="false">'Data Entry'!F15</f>
        <v>0.00252016129032246</v>
      </c>
      <c r="H19" s="13" t="str">
        <f aca="false">'Data Entry'!G15</f>
        <v>SEO</v>
      </c>
      <c r="I19" s="16" t="n">
        <f aca="false">'Data Entry'!H15</f>
        <v>10000</v>
      </c>
    </row>
    <row r="20" customFormat="false" ht="18" hidden="false" customHeight="true" outlineLevel="0" collapsed="false">
      <c r="B20" s="17" t="str">
        <f aca="false">'Data Entry'!B16</f>
        <v>November</v>
      </c>
      <c r="C20" s="18" t="n">
        <f aca="false">'Data Entry'!C16</f>
        <v>90000</v>
      </c>
      <c r="D20" s="19" t="n">
        <f aca="false">'Data Entry'!D16</f>
        <v>290</v>
      </c>
      <c r="E20" s="20" t="n">
        <f aca="false">'Data Entry'!E16</f>
        <v>310.344827586207</v>
      </c>
      <c r="F20" s="17"/>
      <c r="G20" s="17" t="n">
        <f aca="false">'Data Entry'!F16</f>
        <v>-0.0132625994694959</v>
      </c>
      <c r="H20" s="18" t="str">
        <f aca="false">'Data Entry'!G16</f>
        <v>Google Ads</v>
      </c>
      <c r="I20" s="21" t="n">
        <f aca="false">'Data Entry'!H16</f>
        <v>10500</v>
      </c>
    </row>
    <row r="21" customFormat="false" ht="18" hidden="false" customHeight="true" outlineLevel="0" collapsed="false">
      <c r="B21" s="12" t="str">
        <f aca="false">'Data Entry'!B17</f>
        <v>December</v>
      </c>
      <c r="C21" s="13" t="n">
        <f aca="false">'Data Entry'!C17</f>
        <v>95000</v>
      </c>
      <c r="D21" s="14" t="n">
        <f aca="false">'Data Entry'!D17</f>
        <v>315</v>
      </c>
      <c r="E21" s="15" t="n">
        <f aca="false">'Data Entry'!E17</f>
        <v>301.587301587302</v>
      </c>
      <c r="F21" s="12"/>
      <c r="G21" s="12" t="n">
        <f aca="false">'Data Entry'!F17</f>
        <v>-0.0282186948853617</v>
      </c>
      <c r="H21" s="13" t="str">
        <f aca="false">'Data Entry'!G17</f>
        <v>Social Media</v>
      </c>
      <c r="I21" s="16" t="n">
        <f aca="false">'Data Entry'!H17</f>
        <v>10500</v>
      </c>
    </row>
    <row r="22" customFormat="false" ht="18" hidden="false" customHeight="true" outlineLevel="0" collapsed="false">
      <c r="B22" s="17" t="n">
        <f aca="false">'Data Entry'!B18</f>
        <v>0</v>
      </c>
      <c r="C22" s="18" t="n">
        <f aca="false">'Data Entry'!C18</f>
        <v>0</v>
      </c>
      <c r="D22" s="19" t="n">
        <f aca="false">'Data Entry'!D18</f>
        <v>0</v>
      </c>
      <c r="E22" s="20" t="n">
        <f aca="false">'Data Entry'!E18</f>
        <v>0</v>
      </c>
      <c r="F22" s="17"/>
      <c r="G22" s="17" t="n">
        <f aca="false">'Data Entry'!F18</f>
        <v>0</v>
      </c>
      <c r="H22" s="18" t="n">
        <f aca="false">'Data Entry'!G18</f>
        <v>0</v>
      </c>
      <c r="I22" s="21" t="n">
        <f aca="false">'Data Entry'!H18</f>
        <v>0</v>
      </c>
    </row>
  </sheetData>
  <mergeCells count="16">
    <mergeCell ref="B1:I1"/>
    <mergeCell ref="B2:I2"/>
    <mergeCell ref="B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9" min="7" style="1" width="12"/>
  </cols>
  <sheetData>
    <row r="1" customFormat="false" ht="33.75" hidden="false" customHeight="true" outlineLevel="0" collapsed="false">
      <c r="B1" s="22" t="s">
        <v>16</v>
      </c>
      <c r="C1" s="22"/>
      <c r="D1" s="22"/>
      <c r="E1" s="22"/>
      <c r="F1" s="22"/>
      <c r="G1" s="22"/>
      <c r="H1" s="22"/>
      <c r="I1" s="22"/>
    </row>
    <row r="2" customFormat="false" ht="18" hidden="false" customHeight="true" outlineLevel="0" collapsed="false">
      <c r="B2" s="23" t="s">
        <v>17</v>
      </c>
      <c r="C2" s="23"/>
      <c r="D2" s="23"/>
      <c r="E2" s="23"/>
      <c r="F2" s="23"/>
      <c r="G2" s="23"/>
      <c r="H2" s="23"/>
      <c r="I2" s="23"/>
    </row>
    <row r="3" customFormat="false" ht="9.75" hidden="false" customHeight="true" outlineLevel="0" collapsed="false"/>
    <row r="4" customFormat="false" ht="30" hidden="false" customHeight="true" outlineLevel="0" collapsed="false">
      <c r="B4" s="24" t="s">
        <v>8</v>
      </c>
      <c r="C4" s="24" t="s">
        <v>9</v>
      </c>
      <c r="D4" s="24" t="s">
        <v>10</v>
      </c>
      <c r="E4" s="24" t="s">
        <v>11</v>
      </c>
      <c r="F4" s="24" t="s">
        <v>18</v>
      </c>
      <c r="G4" s="24" t="s">
        <v>13</v>
      </c>
      <c r="H4" s="24" t="s">
        <v>14</v>
      </c>
      <c r="I4" s="24" t="s">
        <v>6</v>
      </c>
    </row>
    <row r="5" customFormat="false" ht="18" hidden="false" customHeight="true" outlineLevel="0" collapsed="false">
      <c r="B5" s="25"/>
      <c r="C5" s="25" t="s">
        <v>19</v>
      </c>
      <c r="D5" s="25" t="s">
        <v>20</v>
      </c>
      <c r="E5" s="25" t="s">
        <v>21</v>
      </c>
      <c r="F5" s="25" t="s">
        <v>22</v>
      </c>
      <c r="G5" s="25" t="s">
        <v>23</v>
      </c>
      <c r="H5" s="25" t="s">
        <v>19</v>
      </c>
      <c r="I5" s="25" t="s">
        <v>24</v>
      </c>
    </row>
    <row r="6" customFormat="false" ht="19.5" hidden="false" customHeight="true" outlineLevel="0" collapsed="false">
      <c r="B6" s="26" t="s">
        <v>25</v>
      </c>
      <c r="C6" s="27" t="n">
        <v>45000</v>
      </c>
      <c r="D6" s="28" t="n">
        <v>120</v>
      </c>
      <c r="E6" s="20" t="n">
        <f aca="false">IF(D6=0,"",C6/D6)</f>
        <v>375</v>
      </c>
      <c r="F6" s="29" t="s">
        <v>26</v>
      </c>
      <c r="G6" s="30" t="s">
        <v>27</v>
      </c>
      <c r="H6" s="27" t="n">
        <v>8500</v>
      </c>
      <c r="I6" s="31" t="n">
        <f aca="false">IF(OR(E6="",H6=""),"",H6/E6)</f>
        <v>22.6666666666667</v>
      </c>
    </row>
    <row r="7" customFormat="false" ht="19.5" hidden="false" customHeight="true" outlineLevel="0" collapsed="false">
      <c r="B7" s="32" t="s">
        <v>28</v>
      </c>
      <c r="C7" s="27" t="n">
        <v>52000</v>
      </c>
      <c r="D7" s="28" t="n">
        <v>140</v>
      </c>
      <c r="E7" s="20" t="n">
        <f aca="false">IF(D7=0,"",C7/D7)</f>
        <v>371.428571428571</v>
      </c>
      <c r="F7" s="33" t="n">
        <f aca="false">IF(OR(E7="",E6=""),"—",(E7-E6)/E6)</f>
        <v>-0.00952380952380948</v>
      </c>
      <c r="G7" s="30" t="s">
        <v>29</v>
      </c>
      <c r="H7" s="27" t="n">
        <v>8500</v>
      </c>
      <c r="I7" s="31" t="n">
        <f aca="false">IF(OR(E7="",H7=""),"",H7/E7)</f>
        <v>22.8846153846154</v>
      </c>
    </row>
    <row r="8" customFormat="false" ht="19.5" hidden="false" customHeight="true" outlineLevel="0" collapsed="false">
      <c r="B8" s="26" t="s">
        <v>30</v>
      </c>
      <c r="C8" s="27" t="n">
        <v>48000</v>
      </c>
      <c r="D8" s="28" t="n">
        <v>130</v>
      </c>
      <c r="E8" s="20" t="n">
        <f aca="false">IF(D8=0,"",C8/D8)</f>
        <v>369.230769230769</v>
      </c>
      <c r="F8" s="33" t="n">
        <f aca="false">IF(OR(E8="",E7=""),"—",(E8-E7)/E7)</f>
        <v>-0.00591715976331367</v>
      </c>
      <c r="G8" s="30" t="s">
        <v>27</v>
      </c>
      <c r="H8" s="27" t="n">
        <v>9000</v>
      </c>
      <c r="I8" s="31" t="n">
        <f aca="false">IF(OR(E8="",H8=""),"",H8/E8)</f>
        <v>24.375</v>
      </c>
    </row>
    <row r="9" customFormat="false" ht="19.5" hidden="false" customHeight="true" outlineLevel="0" collapsed="false">
      <c r="B9" s="32" t="s">
        <v>31</v>
      </c>
      <c r="C9" s="27" t="n">
        <v>61000</v>
      </c>
      <c r="D9" s="28" t="n">
        <v>175</v>
      </c>
      <c r="E9" s="20" t="n">
        <f aca="false">IF(D9=0,"",C9/D9)</f>
        <v>348.571428571429</v>
      </c>
      <c r="F9" s="33" t="n">
        <f aca="false">IF(OR(E9="",E8=""),"—",(E9-E8)/E8)</f>
        <v>-0.055952380952381</v>
      </c>
      <c r="G9" s="30" t="s">
        <v>29</v>
      </c>
      <c r="H9" s="27" t="n">
        <v>9000</v>
      </c>
      <c r="I9" s="31" t="n">
        <f aca="false">IF(OR(E9="",H9=""),"",H9/E9)</f>
        <v>25.8196721311475</v>
      </c>
    </row>
    <row r="10" customFormat="false" ht="19.5" hidden="false" customHeight="true" outlineLevel="0" collapsed="false">
      <c r="B10" s="26" t="s">
        <v>32</v>
      </c>
      <c r="C10" s="27" t="n">
        <v>55000</v>
      </c>
      <c r="D10" s="28" t="n">
        <v>160</v>
      </c>
      <c r="E10" s="20" t="n">
        <f aca="false">IF(D10=0,"",C10/D10)</f>
        <v>343.75</v>
      </c>
      <c r="F10" s="33" t="n">
        <f aca="false">IF(OR(E10="",E9=""),"—",(E10-E9)/E9)</f>
        <v>-0.0138319672131147</v>
      </c>
      <c r="G10" s="30" t="s">
        <v>33</v>
      </c>
      <c r="H10" s="27" t="n">
        <v>9200</v>
      </c>
      <c r="I10" s="31" t="n">
        <f aca="false">IF(OR(E10="",H10=""),"",H10/E10)</f>
        <v>26.7636363636364</v>
      </c>
    </row>
    <row r="11" customFormat="false" ht="19.5" hidden="false" customHeight="true" outlineLevel="0" collapsed="false">
      <c r="B11" s="32" t="s">
        <v>34</v>
      </c>
      <c r="C11" s="27" t="n">
        <v>70000</v>
      </c>
      <c r="D11" s="28" t="n">
        <v>210</v>
      </c>
      <c r="E11" s="20" t="n">
        <f aca="false">IF(D11=0,"",C11/D11)</f>
        <v>333.333333333333</v>
      </c>
      <c r="F11" s="33" t="n">
        <f aca="false">IF(OR(E11="",E10=""),"—",(E11-E10)/E10)</f>
        <v>-0.0303030303030304</v>
      </c>
      <c r="G11" s="30" t="s">
        <v>35</v>
      </c>
      <c r="H11" s="27" t="n">
        <v>9500</v>
      </c>
      <c r="I11" s="31" t="n">
        <f aca="false">IF(OR(E11="",H11=""),"",H11/E11)</f>
        <v>28.5</v>
      </c>
    </row>
    <row r="12" customFormat="false" ht="19.5" hidden="false" customHeight="true" outlineLevel="0" collapsed="false">
      <c r="B12" s="26" t="s">
        <v>36</v>
      </c>
      <c r="C12" s="27" t="n">
        <v>67000</v>
      </c>
      <c r="D12" s="28" t="n">
        <v>200</v>
      </c>
      <c r="E12" s="20" t="n">
        <f aca="false">IF(D12=0,"",C12/D12)</f>
        <v>335</v>
      </c>
      <c r="F12" s="33" t="n">
        <f aca="false">IF(OR(E12="",E11=""),"—",(E12-E11)/E11)</f>
        <v>0.00500000000000006</v>
      </c>
      <c r="G12" s="30" t="s">
        <v>27</v>
      </c>
      <c r="H12" s="27" t="n">
        <v>9500</v>
      </c>
      <c r="I12" s="31" t="n">
        <f aca="false">IF(OR(E12="",H12=""),"",H12/E12)</f>
        <v>28.3582089552239</v>
      </c>
    </row>
    <row r="13" customFormat="false" ht="19.5" hidden="false" customHeight="true" outlineLevel="0" collapsed="false">
      <c r="B13" s="32" t="s">
        <v>37</v>
      </c>
      <c r="C13" s="27" t="n">
        <v>74000</v>
      </c>
      <c r="D13" s="28" t="n">
        <v>230</v>
      </c>
      <c r="E13" s="20" t="n">
        <f aca="false">IF(D13=0,"",C13/D13)</f>
        <v>321.739130434783</v>
      </c>
      <c r="F13" s="33" t="n">
        <f aca="false">IF(OR(E13="",E12=""),"—",(E13-E12)/E12)</f>
        <v>-0.0395846852693056</v>
      </c>
      <c r="G13" s="30" t="s">
        <v>29</v>
      </c>
      <c r="H13" s="27" t="n">
        <v>9800</v>
      </c>
      <c r="I13" s="31" t="n">
        <f aca="false">IF(OR(E13="",H13=""),"",H13/E13)</f>
        <v>30.4594594594595</v>
      </c>
    </row>
    <row r="14" customFormat="false" ht="19.5" hidden="false" customHeight="true" outlineLevel="0" collapsed="false">
      <c r="B14" s="26" t="s">
        <v>38</v>
      </c>
      <c r="C14" s="27" t="n">
        <v>80000</v>
      </c>
      <c r="D14" s="28" t="n">
        <v>255</v>
      </c>
      <c r="E14" s="20" t="n">
        <f aca="false">IF(D14=0,"",C14/D14)</f>
        <v>313.725490196078</v>
      </c>
      <c r="F14" s="33" t="n">
        <f aca="false">IF(OR(E14="",E13=""),"—",(E14-E13)/E13)</f>
        <v>-0.0249072602013778</v>
      </c>
      <c r="G14" s="30" t="s">
        <v>39</v>
      </c>
      <c r="H14" s="27" t="n">
        <v>10000</v>
      </c>
      <c r="I14" s="31" t="n">
        <f aca="false">IF(OR(E14="",H14=""),"",H14/E14)</f>
        <v>31.875</v>
      </c>
    </row>
    <row r="15" customFormat="false" ht="19.5" hidden="false" customHeight="true" outlineLevel="0" collapsed="false">
      <c r="B15" s="32" t="s">
        <v>40</v>
      </c>
      <c r="C15" s="27" t="n">
        <v>78000</v>
      </c>
      <c r="D15" s="28" t="n">
        <v>248</v>
      </c>
      <c r="E15" s="20" t="n">
        <f aca="false">IF(D15=0,"",C15/D15)</f>
        <v>314.516129032258</v>
      </c>
      <c r="F15" s="33" t="n">
        <f aca="false">IF(OR(E15="",E14=""),"—",(E15-E14)/E14)</f>
        <v>0.00252016129032246</v>
      </c>
      <c r="G15" s="30" t="s">
        <v>41</v>
      </c>
      <c r="H15" s="27" t="n">
        <v>10000</v>
      </c>
      <c r="I15" s="31" t="n">
        <f aca="false">IF(OR(E15="",H15=""),"",H15/E15)</f>
        <v>31.7948717948718</v>
      </c>
    </row>
    <row r="16" customFormat="false" ht="19.5" hidden="false" customHeight="true" outlineLevel="0" collapsed="false">
      <c r="B16" s="26" t="s">
        <v>42</v>
      </c>
      <c r="C16" s="27" t="n">
        <v>90000</v>
      </c>
      <c r="D16" s="28" t="n">
        <v>290</v>
      </c>
      <c r="E16" s="20" t="n">
        <f aca="false">IF(D16=0,"",C16/D16)</f>
        <v>310.344827586207</v>
      </c>
      <c r="F16" s="33" t="n">
        <f aca="false">IF(OR(E16="",E15=""),"—",(E16-E15)/E15)</f>
        <v>-0.0132625994694959</v>
      </c>
      <c r="G16" s="30" t="s">
        <v>29</v>
      </c>
      <c r="H16" s="27" t="n">
        <v>10500</v>
      </c>
      <c r="I16" s="31" t="n">
        <f aca="false">IF(OR(E16="",H16=""),"",H16/E16)</f>
        <v>33.8333333333333</v>
      </c>
    </row>
    <row r="17" customFormat="false" ht="19.5" hidden="false" customHeight="true" outlineLevel="0" collapsed="false">
      <c r="B17" s="32" t="s">
        <v>43</v>
      </c>
      <c r="C17" s="27" t="n">
        <v>95000</v>
      </c>
      <c r="D17" s="28" t="n">
        <v>315</v>
      </c>
      <c r="E17" s="20" t="n">
        <f aca="false">IF(D17=0,"",C17/D17)</f>
        <v>301.587301587302</v>
      </c>
      <c r="F17" s="33" t="n">
        <f aca="false">IF(OR(E17="",E16=""),"—",(E17-E16)/E16)</f>
        <v>-0.0282186948853617</v>
      </c>
      <c r="G17" s="30" t="s">
        <v>27</v>
      </c>
      <c r="H17" s="27" t="n">
        <v>10500</v>
      </c>
      <c r="I17" s="31" t="n">
        <f aca="false">IF(OR(E17="",H17=""),"",H17/E17)</f>
        <v>34.8157894736842</v>
      </c>
    </row>
    <row r="18" customFormat="false" ht="7.5" hidden="false" customHeight="true" outlineLevel="0" collapsed="false"/>
    <row r="19" customFormat="false" ht="21.75" hidden="false" customHeight="true" outlineLevel="0" collapsed="false">
      <c r="B19" s="11" t="s">
        <v>44</v>
      </c>
      <c r="C19" s="34" t="n">
        <f aca="false">SUM(C6:C17)</f>
        <v>815000</v>
      </c>
      <c r="D19" s="35" t="n">
        <f aca="false">SUM(D6:D17)</f>
        <v>2473</v>
      </c>
      <c r="E19" s="36" t="n">
        <f aca="false">IFERROR(C19/D19,"")</f>
        <v>329.559239789729</v>
      </c>
      <c r="F19" s="11"/>
      <c r="G19" s="11"/>
      <c r="H19" s="34" t="n">
        <f aca="false">AVERAGE(H6:H17)</f>
        <v>9500</v>
      </c>
      <c r="I19" s="37" t="n">
        <f aca="false">IFERROR(H19/E19,"")</f>
        <v>28.8263803680982</v>
      </c>
    </row>
    <row r="20" customFormat="false" ht="7.5" hidden="false" customHeight="true" outlineLevel="0" collapsed="false"/>
    <row r="21" customFormat="false" ht="19.5" hidden="false" customHeight="true" outlineLevel="0" collapsed="false">
      <c r="B21" s="38" t="n">
        <f aca="false">C19</f>
        <v>815000</v>
      </c>
      <c r="C21" s="39" t="s">
        <v>3</v>
      </c>
    </row>
    <row r="22" customFormat="false" ht="19.5" hidden="false" customHeight="true" outlineLevel="0" collapsed="false">
      <c r="B22" s="40" t="n">
        <f aca="false">D19</f>
        <v>2473</v>
      </c>
      <c r="C22" s="39" t="s">
        <v>4</v>
      </c>
    </row>
    <row r="23" customFormat="false" ht="19.5" hidden="false" customHeight="true" outlineLevel="0" collapsed="false">
      <c r="B23" s="41" t="n">
        <f aca="false">E19</f>
        <v>329.559239789729</v>
      </c>
      <c r="C23" s="39" t="s">
        <v>45</v>
      </c>
    </row>
    <row r="24" customFormat="false" ht="19.5" hidden="false" customHeight="true" outlineLevel="0" collapsed="false">
      <c r="B24" s="42" t="n">
        <f aca="false">I19</f>
        <v>28.8263803680982</v>
      </c>
      <c r="C24" s="39" t="s">
        <v>6</v>
      </c>
    </row>
    <row r="26" customFormat="false" ht="7.5" hidden="false" customHeight="true" outlineLevel="0" collapsed="false"/>
    <row r="27" customFormat="false" ht="15" hidden="false" customHeight="true" outlineLevel="0" collapsed="false">
      <c r="B27" s="43" t="s">
        <v>46</v>
      </c>
      <c r="C27" s="43"/>
      <c r="D27" s="43"/>
    </row>
    <row r="28" customFormat="false" ht="18" hidden="false" customHeight="true" outlineLevel="0" collapsed="false">
      <c r="B28" s="44" t="s">
        <v>47</v>
      </c>
      <c r="C28" s="44"/>
      <c r="D28" s="44"/>
    </row>
    <row r="29" customFormat="false" ht="18" hidden="false" customHeight="true" outlineLevel="0" collapsed="false">
      <c r="B29" s="45" t="s">
        <v>48</v>
      </c>
      <c r="C29" s="45"/>
      <c r="D29" s="45"/>
    </row>
  </sheetData>
  <mergeCells count="5">
    <mergeCell ref="B1:I1"/>
    <mergeCell ref="B2:I2"/>
    <mergeCell ref="B27:D27"/>
    <mergeCell ref="B28:D28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</cols>
  <sheetData>
    <row r="1" customFormat="false" ht="33.75" hidden="false" customHeight="true" outlineLevel="0" collapsed="false">
      <c r="B1" s="22" t="s">
        <v>49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</sheetData>
  <mergeCells count="1">
    <mergeCell ref="B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55"/>
  </cols>
  <sheetData>
    <row r="1" customFormat="false" ht="33.75" hidden="false" customHeight="true" outlineLevel="0" collapsed="false">
      <c r="B1" s="22" t="s">
        <v>50</v>
      </c>
      <c r="C1" s="22"/>
    </row>
    <row r="3" customFormat="false" ht="21.75" hidden="false" customHeight="true" outlineLevel="0" collapsed="false">
      <c r="B3" s="46" t="s">
        <v>51</v>
      </c>
      <c r="C3" s="45" t="s">
        <v>52</v>
      </c>
    </row>
    <row r="4" customFormat="false" ht="60" hidden="false" customHeight="true" outlineLevel="0" collapsed="false">
      <c r="B4" s="46"/>
      <c r="C4" s="46"/>
    </row>
    <row r="5" customFormat="false" ht="7.5" hidden="false" customHeight="true" outlineLevel="0" collapsed="false"/>
    <row r="6" customFormat="false" ht="21.75" hidden="false" customHeight="true" outlineLevel="0" collapsed="false">
      <c r="B6" s="46" t="s">
        <v>53</v>
      </c>
      <c r="C6" s="47" t="s">
        <v>54</v>
      </c>
    </row>
    <row r="7" customFormat="false" ht="60" hidden="false" customHeight="true" outlineLevel="0" collapsed="false">
      <c r="B7" s="46"/>
      <c r="C7" s="46"/>
    </row>
    <row r="8" customFormat="false" ht="7.5" hidden="false" customHeight="true" outlineLevel="0" collapsed="false"/>
    <row r="9" customFormat="false" ht="21.75" hidden="false" customHeight="true" outlineLevel="0" collapsed="false">
      <c r="B9" s="46" t="s">
        <v>55</v>
      </c>
      <c r="C9" s="45" t="s">
        <v>56</v>
      </c>
    </row>
    <row r="10" customFormat="false" ht="60" hidden="false" customHeight="true" outlineLevel="0" collapsed="false">
      <c r="B10" s="46"/>
      <c r="C10" s="46"/>
    </row>
    <row r="11" customFormat="false" ht="7.5" hidden="false" customHeight="true" outlineLevel="0" collapsed="false"/>
    <row r="12" customFormat="false" ht="21.75" hidden="false" customHeight="true" outlineLevel="0" collapsed="false">
      <c r="B12" s="46" t="s">
        <v>57</v>
      </c>
      <c r="C12" s="47" t="s">
        <v>58</v>
      </c>
    </row>
    <row r="13" customFormat="false" ht="60" hidden="false" customHeight="true" outlineLevel="0" collapsed="false">
      <c r="B13" s="46"/>
      <c r="C13" s="46"/>
    </row>
    <row r="14" customFormat="false" ht="7.5" hidden="false" customHeight="true" outlineLevel="0" collapsed="false"/>
    <row r="15" customFormat="false" ht="21.75" hidden="false" customHeight="true" outlineLevel="0" collapsed="false">
      <c r="B15" s="46" t="s">
        <v>59</v>
      </c>
      <c r="C15" s="45" t="s">
        <v>60</v>
      </c>
    </row>
    <row r="16" customFormat="false" ht="60" hidden="false" customHeight="true" outlineLevel="0" collapsed="false">
      <c r="B16" s="46"/>
      <c r="C16" s="46"/>
    </row>
    <row r="17" customFormat="false" ht="7.5" hidden="false" customHeight="true" outlineLevel="0" collapsed="false"/>
    <row r="18" customFormat="false" ht="21.75" hidden="false" customHeight="true" outlineLevel="0" collapsed="false">
      <c r="B18" s="46" t="s">
        <v>61</v>
      </c>
      <c r="C18" s="47" t="s">
        <v>62</v>
      </c>
    </row>
    <row r="19" customFormat="false" ht="60" hidden="false" customHeight="true" outlineLevel="0" collapsed="false">
      <c r="B19" s="46"/>
      <c r="C19" s="46"/>
    </row>
    <row r="20" customFormat="false" ht="7.5" hidden="false" customHeight="true" outlineLevel="0" collapsed="false"/>
    <row r="21" customFormat="false" ht="21.75" hidden="false" customHeight="true" outlineLevel="0" collapsed="false">
      <c r="B21" s="46" t="s">
        <v>63</v>
      </c>
      <c r="C21" s="45" t="s">
        <v>64</v>
      </c>
    </row>
    <row r="22" customFormat="false" ht="60" hidden="false" customHeight="true" outlineLevel="0" collapsed="false">
      <c r="B22" s="46"/>
      <c r="C22" s="46"/>
    </row>
    <row r="23" customFormat="false" ht="7.5" hidden="false" customHeight="true" outlineLevel="0" collapsed="false"/>
  </sheetData>
  <mergeCells count="15">
    <mergeCell ref="B1:C1"/>
    <mergeCell ref="B3:B4"/>
    <mergeCell ref="C3:C4"/>
    <mergeCell ref="B6:B7"/>
    <mergeCell ref="C6:C7"/>
    <mergeCell ref="B9:B10"/>
    <mergeCell ref="C9:C10"/>
    <mergeCell ref="B12:B13"/>
    <mergeCell ref="C12:C13"/>
    <mergeCell ref="B15:B16"/>
    <mergeCell ref="C15:C16"/>
    <mergeCell ref="B18:B19"/>
    <mergeCell ref="C18:C19"/>
    <mergeCell ref="B21:B22"/>
    <mergeCell ref="C21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2026-04-02T14:40:11Z</dcterms:created>
  <dc:creator>openpyxl</dc:creator>
  <dc:description/>
  <dc:language>en-US</dc:language>
  <cp:lastModifiedBy/>
  <dcterms:modified xsi:type="dcterms:W3CDTF">2026-04-02T14:44:53Z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